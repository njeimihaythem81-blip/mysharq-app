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tems" sheetId="1" state="visible" r:id="rId3"/>
    <sheet name="Customer view" sheetId="2" state="visible" r:id="rId4"/>
    <sheet name="Read me" sheetId="3" state="visible" r:id="rId5"/>
  </sheets>
  <definedNames>
    <definedName function="false" hidden="true" localSheetId="0" name="_xlnm._FilterDatabase" vbProcedure="false">Items!$A$1:$F$23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<sst xmlns="http://schemas.openxmlformats.org/spreadsheetml/2006/main" count="131" uniqueCount="111">
  <si>
    <t xml:space="preserve">Section</t>
  </si>
  <si>
    <t xml:space="preserve">Branch</t>
  </si>
  <si>
    <t xml:space="preserve">Sub-Branch</t>
  </si>
  <si>
    <t xml:space="preserve">Item No</t>
  </si>
  <si>
    <t xml:space="preserve">Description</t>
  </si>
  <si>
    <t xml:space="preserve">Quantity</t>
  </si>
  <si>
    <t xml:space="preserve">TESYS</t>
  </si>
  <si>
    <t xml:space="preserve">CONTACTORS TO 60A 30KW</t>
  </si>
  <si>
    <t xml:space="preserve">LC1D09M7</t>
  </si>
  <si>
    <t xml:space="preserve">TeSys D contactor 3P 9A, 220V AC coil</t>
  </si>
  <si>
    <t xml:space="preserve">LC1D25M7</t>
  </si>
  <si>
    <t xml:space="preserve">TeSys D contactor 3P 25A, 220V AC coil</t>
  </si>
  <si>
    <t xml:space="preserve">CONTACTORS D 37 TO 75KW</t>
  </si>
  <si>
    <t xml:space="preserve">LC1D80M7</t>
  </si>
  <si>
    <t xml:space="preserve">TeSys D contactor 3P 80A, 220V AC coil</t>
  </si>
  <si>
    <t xml:space="preserve">CONTACTORS F TO 400KW</t>
  </si>
  <si>
    <t xml:space="preserve">LC1F185M7</t>
  </si>
  <si>
    <t xml:space="preserve">TeSys F contactor 3P 185A, 220V AC coil</t>
  </si>
  <si>
    <t xml:space="preserve">OVERLOADS</t>
  </si>
  <si>
    <t xml:space="preserve">LRD</t>
  </si>
  <si>
    <t xml:space="preserve">LRD08</t>
  </si>
  <si>
    <t xml:space="preserve">Thermal overload relay 2.5-4 A</t>
  </si>
  <si>
    <t xml:space="preserve">LRD12</t>
  </si>
  <si>
    <t xml:space="preserve">Thermal overload relay 5.5-8 A</t>
  </si>
  <si>
    <t xml:space="preserve">LR9D</t>
  </si>
  <si>
    <t xml:space="preserve">LR9D5367</t>
  </si>
  <si>
    <t xml:space="preserve">Electronic overload relay 60-100 A</t>
  </si>
  <si>
    <t xml:space="preserve">PNEUMATIC TIMERS</t>
  </si>
  <si>
    <t xml:space="preserve">SAMPLE-PT-01</t>
  </si>
  <si>
    <t xml:space="preserve">Pneumatic timer block (sample entry)</t>
  </si>
  <si>
    <t xml:space="preserve">ACTI 9</t>
  </si>
  <si>
    <t xml:space="preserve">1 POLE</t>
  </si>
  <si>
    <t xml:space="preserve">A9F74110</t>
  </si>
  <si>
    <t xml:space="preserve">iC60N circuit breaker 1P 10A, C curve</t>
  </si>
  <si>
    <t xml:space="preserve">3 POLES</t>
  </si>
  <si>
    <t xml:space="preserve">A9F74310</t>
  </si>
  <si>
    <t xml:space="preserve">iC60N circuit breaker 3P 10A, C curve</t>
  </si>
  <si>
    <t xml:space="preserve">RESIDUAL CURRENT DEVICES</t>
  </si>
  <si>
    <t xml:space="preserve">RCBO</t>
  </si>
  <si>
    <t xml:space="preserve">SAMPLE-RCBO-01</t>
  </si>
  <si>
    <t xml:space="preserve">RCBO 1P+N 16A 30mA (sample entry)</t>
  </si>
  <si>
    <t xml:space="preserve">SILENT CONTACTORS</t>
  </si>
  <si>
    <t xml:space="preserve">1P CT</t>
  </si>
  <si>
    <t xml:space="preserve">SAMPLE-CT-01</t>
  </si>
  <si>
    <t xml:space="preserve">Silent contactor 1P 25A (sample entry)</t>
  </si>
  <si>
    <t xml:space="preserve">MCCBS</t>
  </si>
  <si>
    <t xml:space="preserve">NSX 10 TO NSX 400</t>
  </si>
  <si>
    <t xml:space="preserve">SAMPLE-NSX-01</t>
  </si>
  <si>
    <t xml:space="preserve">Compact NSX molded case breaker (sample entry)</t>
  </si>
  <si>
    <t xml:space="preserve">HARMONY</t>
  </si>
  <si>
    <t xml:space="preserve">PUSH BUTTONS</t>
  </si>
  <si>
    <t xml:space="preserve">XB5AA31</t>
  </si>
  <si>
    <t xml:space="preserve">Green flush push button, 22 mm, 1 NO</t>
  </si>
  <si>
    <t xml:space="preserve">XB5AA42</t>
  </si>
  <si>
    <t xml:space="preserve">Red flush push button, 22 mm, 1 NC</t>
  </si>
  <si>
    <t xml:space="preserve">ALTIVAR</t>
  </si>
  <si>
    <t xml:space="preserve">ALTIVAR 12</t>
  </si>
  <si>
    <t xml:space="preserve">ATV12H018M2</t>
  </si>
  <si>
    <t xml:space="preserve">Variable speed drive 0.18 kW, 1-phase 200-240 V</t>
  </si>
  <si>
    <t xml:space="preserve">ZELIO</t>
  </si>
  <si>
    <t xml:space="preserve">ZELIO PLUG IN RELAYS</t>
  </si>
  <si>
    <t xml:space="preserve">RXM4AB2P7</t>
  </si>
  <si>
    <t xml:space="preserve">Plug-in relay 4 CO, 6 A, 230 V AC</t>
  </si>
  <si>
    <t xml:space="preserve">ZELIO PHASE PROTECTION</t>
  </si>
  <si>
    <t xml:space="preserve">RM22TR33</t>
  </si>
  <si>
    <t xml:space="preserve">3-phase supply monitoring relay</t>
  </si>
  <si>
    <t xml:space="preserve">BUSBARS FR</t>
  </si>
  <si>
    <t xml:space="preserve">SAMPLE-BFR-01</t>
  </si>
  <si>
    <t xml:space="preserve">Busbar (sample entry, section has no branches)</t>
  </si>
  <si>
    <t xml:space="preserve">TRUNK</t>
  </si>
  <si>
    <t xml:space="preserve">SAMPLE-TRK-01</t>
  </si>
  <si>
    <t xml:space="preserve">Trunking (sample entry, section has no branches)</t>
  </si>
  <si>
    <t xml:space="preserve">ATS, ATCBs AND MTS</t>
  </si>
  <si>
    <t xml:space="preserve">TELERGON</t>
  </si>
  <si>
    <t xml:space="preserve">MTS</t>
  </si>
  <si>
    <t xml:space="preserve">SAMPLE-TLG-01</t>
  </si>
  <si>
    <t xml:space="preserve">Manual transfer switch (sample entry)</t>
  </si>
  <si>
    <t xml:space="preserve">ATCBs AND MTS SCHNEIDER</t>
  </si>
  <si>
    <t xml:space="preserve">ATCBs SCHNEIDER</t>
  </si>
  <si>
    <t xml:space="preserve">SAMPLE-ATC-01</t>
  </si>
  <si>
    <t xml:space="preserve">Automatic transfer breaker (sample entry)</t>
  </si>
  <si>
    <t xml:space="preserve">Status</t>
  </si>
  <si>
    <t xml:space="preserve">MY SHARQ RFQ's - Items file template</t>
  </si>
  <si>
    <t xml:space="preserve">Sheet 'Items' - the ONLY sheet the app imports. Keep the 6 columns in this order:</t>
  </si>
  <si>
    <t xml:space="preserve">A  Section</t>
  </si>
  <si>
    <t xml:space="preserve">Main family, spelled exactly as in the categories tree (e.g. TESYS, ACTI 9, MCCBS).</t>
  </si>
  <si>
    <t xml:space="preserve">B  Branch</t>
  </si>
  <si>
    <t xml:space="preserve">Sub-family inside the section (e.g. OVERLOADS). Leave EMPTY if the section has no branches.</t>
  </si>
  <si>
    <t xml:space="preserve">C  Sub-Branch</t>
  </si>
  <si>
    <t xml:space="preserve">Third level (e.g. LRD, RCBO, 1P CT, MTS). Leave EMPTY if there is none.</t>
  </si>
  <si>
    <t xml:space="preserve">D  Item No</t>
  </si>
  <si>
    <t xml:space="preserve">Unique reference per item. Never repeat it. Stored as text. It links the item to its photo (photo file name = Item No).</t>
  </si>
  <si>
    <t xml:space="preserve">E  Description</t>
  </si>
  <si>
    <t xml:space="preserve">Item name/description shown to the customer.</t>
  </si>
  <si>
    <t xml:space="preserve">F  Quantity</t>
  </si>
  <si>
    <t xml:space="preserve">Stock count. NEVER shown to the customer - used only to show availability.</t>
  </si>
  <si>
    <t xml:space="preserve">Availability shown to the customer</t>
  </si>
  <si>
    <t xml:space="preserve">Quantity greater than 0</t>
  </si>
  <si>
    <t xml:space="preserve">Available</t>
  </si>
  <si>
    <t xml:space="preserve">Quantity 0 or empty</t>
  </si>
  <si>
    <t xml:space="preserve">Waiting</t>
  </si>
  <si>
    <t xml:space="preserve">See sheet 'Customer view' for how this looks.</t>
  </si>
  <si>
    <t xml:space="preserve">Notes</t>
  </si>
  <si>
    <t xml:space="preserve">1</t>
  </si>
  <si>
    <t xml:space="preserve">All rows in 'Items' are SAMPLE data. Part numbers starting with SAMPLE- are placeholders. Replace everything with your real data.</t>
  </si>
  <si>
    <t xml:space="preserve">2</t>
  </si>
  <si>
    <t xml:space="preserve">Names in Section / Branch / Sub-Branch must match the categories tree. Any name that does not match is listed in a report before saving, so no item is lost silently.</t>
  </si>
  <si>
    <t xml:space="preserve">3</t>
  </si>
  <si>
    <t xml:space="preserve">Delete the sample rows and paste your items starting at row 2. Do not rename or reorder the column headers.</t>
  </si>
  <si>
    <t xml:space="preserve">4</t>
  </si>
  <si>
    <t xml:space="preserve">Photos are not in this file. Operators upload them from the app, one photo per Item No.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</si>
</sst>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9FF14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C2326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8CC"/>
      </left>
      <right style="thin">
        <color rgb="FFBFC8CC"/>
      </right>
      <top style="thin">
        <color rgb="FFBFC8CC"/>
      </top>
      <bottom style="thin">
        <color rgb="FFBFC8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C232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9FF14"/>
          <bgColor rgb="FF000000"/>
        </patternFill>
      </fill>
    </dxf>
  </dxfs>
  <colors>
    <indexedColors>
      <rgbColor rgb="FF000000"/>
      <rgbColor rgb="FFFFFFFF"/>
      <rgbColor rgb="FFFF0000"/>
      <rgbColor rgb="FF39FF1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8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3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4" min="3" style="0" width="20"/>
    <col collapsed="false" customWidth="true" hidden="false" outlineLevel="0" max="5" min="5" style="0" width="52"/>
    <col collapsed="false" customWidth="true" hidden="false" outlineLevel="0" max="6" min="6" style="0" width="11"/>
  </cols>
  <sheetData>
    <row r="1" customFormat="false" ht="24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2"/>
      <c r="D2" s="3" t="s">
        <v>8</v>
      </c>
      <c r="E2" s="4" t="s">
        <v>9</v>
      </c>
      <c r="F2" s="5" t="n">
        <v>120</v>
      </c>
    </row>
    <row r="3" customFormat="false" ht="15" hidden="false" customHeight="false" outlineLevel="0" collapsed="false">
      <c r="A3" s="2" t="s">
        <v>6</v>
      </c>
      <c r="B3" s="2" t="s">
        <v>7</v>
      </c>
      <c r="C3" s="2"/>
      <c r="D3" s="3" t="s">
        <v>10</v>
      </c>
      <c r="E3" s="4" t="s">
        <v>11</v>
      </c>
      <c r="F3" s="5" t="n">
        <v>40</v>
      </c>
    </row>
    <row r="4" customFormat="false" ht="15" hidden="false" customHeight="false" outlineLevel="0" collapsed="false">
      <c r="A4" s="2" t="s">
        <v>6</v>
      </c>
      <c r="B4" s="2" t="s">
        <v>12</v>
      </c>
      <c r="C4" s="2"/>
      <c r="D4" s="3" t="s">
        <v>13</v>
      </c>
      <c r="E4" s="4" t="s">
        <v>14</v>
      </c>
      <c r="F4" s="5" t="n">
        <v>0</v>
      </c>
    </row>
    <row r="5" customFormat="false" ht="15" hidden="false" customHeight="false" outlineLevel="0" collapsed="false">
      <c r="A5" s="2" t="s">
        <v>6</v>
      </c>
      <c r="B5" s="2" t="s">
        <v>15</v>
      </c>
      <c r="C5" s="2"/>
      <c r="D5" s="3" t="s">
        <v>16</v>
      </c>
      <c r="E5" s="4" t="s">
        <v>17</v>
      </c>
      <c r="F5" s="5" t="n">
        <v>5</v>
      </c>
    </row>
    <row r="6" customFormat="false" ht="15" hidden="false" customHeight="false" outlineLevel="0" collapsed="false">
      <c r="A6" s="2" t="s">
        <v>6</v>
      </c>
      <c r="B6" s="2" t="s">
        <v>18</v>
      </c>
      <c r="C6" s="2" t="s">
        <v>19</v>
      </c>
      <c r="D6" s="3" t="s">
        <v>20</v>
      </c>
      <c r="E6" s="4" t="s">
        <v>21</v>
      </c>
      <c r="F6" s="5" t="n">
        <v>60</v>
      </c>
    </row>
    <row r="7" customFormat="false" ht="15" hidden="false" customHeight="false" outlineLevel="0" collapsed="false">
      <c r="A7" s="2" t="s">
        <v>6</v>
      </c>
      <c r="B7" s="2" t="s">
        <v>18</v>
      </c>
      <c r="C7" s="2" t="s">
        <v>19</v>
      </c>
      <c r="D7" s="3" t="s">
        <v>22</v>
      </c>
      <c r="E7" s="4" t="s">
        <v>23</v>
      </c>
      <c r="F7" s="5" t="n">
        <v>25</v>
      </c>
    </row>
    <row r="8" customFormat="false" ht="15" hidden="false" customHeight="false" outlineLevel="0" collapsed="false">
      <c r="A8" s="2" t="s">
        <v>6</v>
      </c>
      <c r="B8" s="2" t="s">
        <v>18</v>
      </c>
      <c r="C8" s="2" t="s">
        <v>24</v>
      </c>
      <c r="D8" s="3" t="s">
        <v>25</v>
      </c>
      <c r="E8" s="4" t="s">
        <v>26</v>
      </c>
      <c r="F8" s="5" t="n">
        <v>3</v>
      </c>
    </row>
    <row r="9" customFormat="false" ht="15" hidden="false" customHeight="false" outlineLevel="0" collapsed="false">
      <c r="A9" s="2" t="s">
        <v>6</v>
      </c>
      <c r="B9" s="2" t="s">
        <v>27</v>
      </c>
      <c r="C9" s="2"/>
      <c r="D9" s="3" t="s">
        <v>28</v>
      </c>
      <c r="E9" s="4" t="s">
        <v>29</v>
      </c>
      <c r="F9" s="5"/>
    </row>
    <row r="10" customFormat="false" ht="15" hidden="false" customHeight="false" outlineLevel="0" collapsed="false">
      <c r="A10" s="2" t="s">
        <v>30</v>
      </c>
      <c r="B10" s="2" t="s">
        <v>31</v>
      </c>
      <c r="C10" s="2"/>
      <c r="D10" s="3" t="s">
        <v>32</v>
      </c>
      <c r="E10" s="4" t="s">
        <v>33</v>
      </c>
      <c r="F10" s="5" t="n">
        <v>200</v>
      </c>
    </row>
    <row r="11" customFormat="false" ht="15" hidden="false" customHeight="false" outlineLevel="0" collapsed="false">
      <c r="A11" s="2" t="s">
        <v>30</v>
      </c>
      <c r="B11" s="2" t="s">
        <v>34</v>
      </c>
      <c r="C11" s="2"/>
      <c r="D11" s="3" t="s">
        <v>35</v>
      </c>
      <c r="E11" s="4" t="s">
        <v>36</v>
      </c>
      <c r="F11" s="5" t="n">
        <v>80</v>
      </c>
    </row>
    <row r="12" customFormat="false" ht="15" hidden="false" customHeight="false" outlineLevel="0" collapsed="false">
      <c r="A12" s="2" t="s">
        <v>30</v>
      </c>
      <c r="B12" s="2" t="s">
        <v>37</v>
      </c>
      <c r="C12" s="2" t="s">
        <v>38</v>
      </c>
      <c r="D12" s="3" t="s">
        <v>39</v>
      </c>
      <c r="E12" s="4" t="s">
        <v>40</v>
      </c>
      <c r="F12" s="5" t="n">
        <v>35</v>
      </c>
    </row>
    <row r="13" customFormat="false" ht="15" hidden="false" customHeight="false" outlineLevel="0" collapsed="false">
      <c r="A13" s="2" t="s">
        <v>30</v>
      </c>
      <c r="B13" s="2" t="s">
        <v>41</v>
      </c>
      <c r="C13" s="2" t="s">
        <v>42</v>
      </c>
      <c r="D13" s="3" t="s">
        <v>43</v>
      </c>
      <c r="E13" s="4" t="s">
        <v>44</v>
      </c>
      <c r="F13" s="5" t="n">
        <v>0</v>
      </c>
    </row>
    <row r="14" customFormat="false" ht="15" hidden="false" customHeight="false" outlineLevel="0" collapsed="false">
      <c r="A14" s="2" t="s">
        <v>45</v>
      </c>
      <c r="B14" s="2" t="s">
        <v>46</v>
      </c>
      <c r="C14" s="2"/>
      <c r="D14" s="3" t="s">
        <v>47</v>
      </c>
      <c r="E14" s="4" t="s">
        <v>48</v>
      </c>
      <c r="F14" s="5" t="n">
        <v>8</v>
      </c>
    </row>
    <row r="15" customFormat="false" ht="15" hidden="false" customHeight="false" outlineLevel="0" collapsed="false">
      <c r="A15" s="2" t="s">
        <v>49</v>
      </c>
      <c r="B15" s="2" t="s">
        <v>50</v>
      </c>
      <c r="C15" s="2"/>
      <c r="D15" s="3" t="s">
        <v>51</v>
      </c>
      <c r="E15" s="4" t="s">
        <v>52</v>
      </c>
      <c r="F15" s="5" t="n">
        <v>150</v>
      </c>
    </row>
    <row r="16" customFormat="false" ht="15" hidden="false" customHeight="false" outlineLevel="0" collapsed="false">
      <c r="A16" s="2" t="s">
        <v>49</v>
      </c>
      <c r="B16" s="2" t="s">
        <v>50</v>
      </c>
      <c r="C16" s="2"/>
      <c r="D16" s="3" t="s">
        <v>53</v>
      </c>
      <c r="E16" s="4" t="s">
        <v>54</v>
      </c>
      <c r="F16" s="5" t="n">
        <v>140</v>
      </c>
    </row>
    <row r="17" customFormat="false" ht="15" hidden="false" customHeight="false" outlineLevel="0" collapsed="false">
      <c r="A17" s="2" t="s">
        <v>55</v>
      </c>
      <c r="B17" s="2" t="s">
        <v>56</v>
      </c>
      <c r="C17" s="2"/>
      <c r="D17" s="3" t="s">
        <v>57</v>
      </c>
      <c r="E17" s="4" t="s">
        <v>58</v>
      </c>
      <c r="F17" s="5" t="n">
        <v>4</v>
      </c>
    </row>
    <row r="18" customFormat="false" ht="15" hidden="false" customHeight="false" outlineLevel="0" collapsed="false">
      <c r="A18" s="2" t="s">
        <v>59</v>
      </c>
      <c r="B18" s="2" t="s">
        <v>60</v>
      </c>
      <c r="C18" s="2"/>
      <c r="D18" s="3" t="s">
        <v>61</v>
      </c>
      <c r="E18" s="4" t="s">
        <v>62</v>
      </c>
      <c r="F18" s="5" t="n">
        <v>300</v>
      </c>
    </row>
    <row r="19" customFormat="false" ht="15" hidden="false" customHeight="false" outlineLevel="0" collapsed="false">
      <c r="A19" s="2" t="s">
        <v>59</v>
      </c>
      <c r="B19" s="2" t="s">
        <v>63</v>
      </c>
      <c r="C19" s="2"/>
      <c r="D19" s="3" t="s">
        <v>64</v>
      </c>
      <c r="E19" s="4" t="s">
        <v>65</v>
      </c>
      <c r="F19" s="5" t="n">
        <v>12</v>
      </c>
    </row>
    <row r="20" customFormat="false" ht="15" hidden="false" customHeight="false" outlineLevel="0" collapsed="false">
      <c r="A20" s="2" t="s">
        <v>66</v>
      </c>
      <c r="B20" s="2"/>
      <c r="C20" s="2"/>
      <c r="D20" s="3" t="s">
        <v>67</v>
      </c>
      <c r="E20" s="4" t="s">
        <v>68</v>
      </c>
      <c r="F20" s="5" t="n">
        <v>0</v>
      </c>
    </row>
    <row r="21" customFormat="false" ht="15" hidden="false" customHeight="false" outlineLevel="0" collapsed="false">
      <c r="A21" s="2" t="s">
        <v>69</v>
      </c>
      <c r="B21" s="2"/>
      <c r="C21" s="2"/>
      <c r="D21" s="3" t="s">
        <v>70</v>
      </c>
      <c r="E21" s="4" t="s">
        <v>71</v>
      </c>
      <c r="F21" s="5" t="n">
        <v>20</v>
      </c>
    </row>
    <row r="22" customFormat="false" ht="15" hidden="false" customHeight="false" outlineLevel="0" collapsed="false">
      <c r="A22" s="2" t="s">
        <v>72</v>
      </c>
      <c r="B22" s="2" t="s">
        <v>73</v>
      </c>
      <c r="C22" s="2" t="s">
        <v>74</v>
      </c>
      <c r="D22" s="3" t="s">
        <v>75</v>
      </c>
      <c r="E22" s="4" t="s">
        <v>76</v>
      </c>
      <c r="F22" s="5" t="n">
        <v>2</v>
      </c>
    </row>
    <row r="23" customFormat="false" ht="15" hidden="false" customHeight="false" outlineLevel="0" collapsed="false">
      <c r="A23" s="2" t="s">
        <v>72</v>
      </c>
      <c r="B23" s="2" t="s">
        <v>77</v>
      </c>
      <c r="C23" s="2" t="s">
        <v>78</v>
      </c>
      <c r="D23" s="3" t="s">
        <v>79</v>
      </c>
      <c r="E23" s="4" t="s">
        <v>80</v>
      </c>
      <c r="F23" s="5" t="n">
        <v>0</v>
      </c>
    </row>
  </sheetData>
  <autoFilter ref="A1:F23"/>
  <dataValidations count="1">
    <dataValidation allowBlank="true" error="Enter a whole number, 0 or more." errorStyle="stop" errorTitle="Quantity" operator="greaterThanOrEqual" showDropDown="false" showErrorMessage="true" showInputMessage="false" sqref="F2:F1023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2"/>
    <col collapsed="false" customWidth="true" hidden="false" outlineLevel="0" max="3" min="3" style="0" width="14"/>
  </cols>
  <sheetData>
    <row r="1" customFormat="false" ht="15" hidden="false" customHeight="false" outlineLevel="0" collapsed="false">
      <c r="A1" s="6" t="s">
        <v>3</v>
      </c>
      <c r="B1" s="6" t="s">
        <v>4</v>
      </c>
      <c r="C1" s="6" t="s">
        <v>81</v>
      </c>
    </row>
    <row r="2" customFormat="false" ht="15" hidden="false" customHeight="false" outlineLevel="0" collapsed="false">
      <c r="A2" s="7" t="str">
        <f aca="false">Items!D2</f>
        <v>LC1D09M7</v>
      </c>
      <c r="B2" s="7" t="str">
        <f aca="false">Items!E2</f>
        <v>TeSys D contactor 3P 9A, 220V AC coil</v>
      </c>
      <c r="C2" s="8" t="str">
        <f aca="false">IF(N(Items!F2)&gt;0,"Available","Waiting")</f>
        <v>Available</v>
      </c>
    </row>
    <row r="3" customFormat="false" ht="15" hidden="false" customHeight="false" outlineLevel="0" collapsed="false">
      <c r="A3" s="7" t="str">
        <f aca="false">Items!D3</f>
        <v>LC1D25M7</v>
      </c>
      <c r="B3" s="7" t="str">
        <f aca="false">Items!E3</f>
        <v>TeSys D contactor 3P 25A, 220V AC coil</v>
      </c>
      <c r="C3" s="8" t="str">
        <f aca="false">IF(N(Items!F3)&gt;0,"Available","Waiting")</f>
        <v>Available</v>
      </c>
    </row>
    <row r="4" customFormat="false" ht="15" hidden="false" customHeight="false" outlineLevel="0" collapsed="false">
      <c r="A4" s="7" t="str">
        <f aca="false">Items!D4</f>
        <v>LC1D80M7</v>
      </c>
      <c r="B4" s="7" t="str">
        <f aca="false">Items!E4</f>
        <v>TeSys D contactor 3P 80A, 220V AC coil</v>
      </c>
      <c r="C4" s="8" t="str">
        <f aca="false">IF(N(Items!F4)&gt;0,"Available","Waiting")</f>
        <v>Waiting</v>
      </c>
    </row>
    <row r="5" customFormat="false" ht="15" hidden="false" customHeight="false" outlineLevel="0" collapsed="false">
      <c r="A5" s="7" t="str">
        <f aca="false">Items!D5</f>
        <v>LC1F185M7</v>
      </c>
      <c r="B5" s="7" t="str">
        <f aca="false">Items!E5</f>
        <v>TeSys F contactor 3P 185A, 220V AC coil</v>
      </c>
      <c r="C5" s="8" t="str">
        <f aca="false">IF(N(Items!F5)&gt;0,"Available","Waiting")</f>
        <v>Available</v>
      </c>
    </row>
    <row r="6" customFormat="false" ht="15" hidden="false" customHeight="false" outlineLevel="0" collapsed="false">
      <c r="A6" s="7" t="str">
        <f aca="false">Items!D6</f>
        <v>LRD08</v>
      </c>
      <c r="B6" s="7" t="str">
        <f aca="false">Items!E6</f>
        <v>Thermal overload relay 2.5-4 A</v>
      </c>
      <c r="C6" s="8" t="str">
        <f aca="false">IF(N(Items!F6)&gt;0,"Available","Waiting")</f>
        <v>Available</v>
      </c>
    </row>
    <row r="7" customFormat="false" ht="15" hidden="false" customHeight="false" outlineLevel="0" collapsed="false">
      <c r="A7" s="7" t="str">
        <f aca="false">Items!D7</f>
        <v>LRD12</v>
      </c>
      <c r="B7" s="7" t="str">
        <f aca="false">Items!E7</f>
        <v>Thermal overload relay 5.5-8 A</v>
      </c>
      <c r="C7" s="8" t="str">
        <f aca="false">IF(N(Items!F7)&gt;0,"Available","Waiting")</f>
        <v>Available</v>
      </c>
    </row>
    <row r="8" customFormat="false" ht="15" hidden="false" customHeight="false" outlineLevel="0" collapsed="false">
      <c r="A8" s="7" t="str">
        <f aca="false">Items!D8</f>
        <v>LR9D5367</v>
      </c>
      <c r="B8" s="7" t="str">
        <f aca="false">Items!E8</f>
        <v>Electronic overload relay 60-100 A</v>
      </c>
      <c r="C8" s="8" t="str">
        <f aca="false">IF(N(Items!F8)&gt;0,"Available","Waiting")</f>
        <v>Available</v>
      </c>
    </row>
    <row r="9" customFormat="false" ht="15" hidden="false" customHeight="false" outlineLevel="0" collapsed="false">
      <c r="A9" s="7" t="str">
        <f aca="false">Items!D9</f>
        <v>SAMPLE-PT-01</v>
      </c>
      <c r="B9" s="7" t="str">
        <f aca="false">Items!E9</f>
        <v>Pneumatic timer block (sample entry)</v>
      </c>
      <c r="C9" s="8" t="str">
        <f aca="false">IF(N(Items!F9)&gt;0,"Available","Waiting")</f>
        <v>Waiting</v>
      </c>
    </row>
    <row r="10" customFormat="false" ht="15" hidden="false" customHeight="false" outlineLevel="0" collapsed="false">
      <c r="A10" s="7" t="str">
        <f aca="false">Items!D10</f>
        <v>A9F74110</v>
      </c>
      <c r="B10" s="7" t="str">
        <f aca="false">Items!E10</f>
        <v>iC60N circuit breaker 1P 10A, C curve</v>
      </c>
      <c r="C10" s="8" t="str">
        <f aca="false">IF(N(Items!F10)&gt;0,"Available","Waiting")</f>
        <v>Available</v>
      </c>
    </row>
    <row r="11" customFormat="false" ht="15" hidden="false" customHeight="false" outlineLevel="0" collapsed="false">
      <c r="A11" s="7" t="str">
        <f aca="false">Items!D11</f>
        <v>A9F74310</v>
      </c>
      <c r="B11" s="7" t="str">
        <f aca="false">Items!E11</f>
        <v>iC60N circuit breaker 3P 10A, C curve</v>
      </c>
      <c r="C11" s="8" t="str">
        <f aca="false">IF(N(Items!F11)&gt;0,"Available","Waiting")</f>
        <v>Available</v>
      </c>
    </row>
    <row r="12" customFormat="false" ht="15" hidden="false" customHeight="false" outlineLevel="0" collapsed="false">
      <c r="A12" s="7" t="str">
        <f aca="false">Items!D12</f>
        <v>SAMPLE-RCBO-01</v>
      </c>
      <c r="B12" s="7" t="str">
        <f aca="false">Items!E12</f>
        <v>RCBO 1P+N 16A 30mA (sample entry)</v>
      </c>
      <c r="C12" s="8" t="str">
        <f aca="false">IF(N(Items!F12)&gt;0,"Available","Waiting")</f>
        <v>Available</v>
      </c>
    </row>
    <row r="13" customFormat="false" ht="15" hidden="false" customHeight="false" outlineLevel="0" collapsed="false">
      <c r="A13" s="7" t="str">
        <f aca="false">Items!D13</f>
        <v>SAMPLE-CT-01</v>
      </c>
      <c r="B13" s="7" t="str">
        <f aca="false">Items!E13</f>
        <v>Silent contactor 1P 25A (sample entry)</v>
      </c>
      <c r="C13" s="8" t="str">
        <f aca="false">IF(N(Items!F13)&gt;0,"Available","Waiting")</f>
        <v>Waiting</v>
      </c>
    </row>
    <row r="14" customFormat="false" ht="15" hidden="false" customHeight="false" outlineLevel="0" collapsed="false">
      <c r="A14" s="7" t="str">
        <f aca="false">Items!D14</f>
        <v>SAMPLE-NSX-01</v>
      </c>
      <c r="B14" s="7" t="str">
        <f aca="false">Items!E14</f>
        <v>Compact NSX molded case breaker (sample entry)</v>
      </c>
      <c r="C14" s="8" t="str">
        <f aca="false">IF(N(Items!F14)&gt;0,"Available","Waiting")</f>
        <v>Available</v>
      </c>
    </row>
    <row r="15" customFormat="false" ht="15" hidden="false" customHeight="false" outlineLevel="0" collapsed="false">
      <c r="A15" s="7" t="str">
        <f aca="false">Items!D15</f>
        <v>XB5AA31</v>
      </c>
      <c r="B15" s="7" t="str">
        <f aca="false">Items!E15</f>
        <v>Green flush push button, 22 mm, 1 NO</v>
      </c>
      <c r="C15" s="8" t="str">
        <f aca="false">IF(N(Items!F15)&gt;0,"Available","Waiting")</f>
        <v>Available</v>
      </c>
    </row>
    <row r="16" customFormat="false" ht="15" hidden="false" customHeight="false" outlineLevel="0" collapsed="false">
      <c r="A16" s="7" t="str">
        <f aca="false">Items!D16</f>
        <v>XB5AA42</v>
      </c>
      <c r="B16" s="7" t="str">
        <f aca="false">Items!E16</f>
        <v>Red flush push button, 22 mm, 1 NC</v>
      </c>
      <c r="C16" s="8" t="str">
        <f aca="false">IF(N(Items!F16)&gt;0,"Available","Waiting")</f>
        <v>Available</v>
      </c>
    </row>
    <row r="17" customFormat="false" ht="15" hidden="false" customHeight="false" outlineLevel="0" collapsed="false">
      <c r="A17" s="7" t="str">
        <f aca="false">Items!D17</f>
        <v>ATV12H018M2</v>
      </c>
      <c r="B17" s="7" t="str">
        <f aca="false">Items!E17</f>
        <v>Variable speed drive 0.18 kW, 1-phase 200-240 V</v>
      </c>
      <c r="C17" s="8" t="str">
        <f aca="false">IF(N(Items!F17)&gt;0,"Available","Waiting")</f>
        <v>Available</v>
      </c>
    </row>
    <row r="18" customFormat="false" ht="15" hidden="false" customHeight="false" outlineLevel="0" collapsed="false">
      <c r="A18" s="7" t="str">
        <f aca="false">Items!D18</f>
        <v>RXM4AB2P7</v>
      </c>
      <c r="B18" s="7" t="str">
        <f aca="false">Items!E18</f>
        <v>Plug-in relay 4 CO, 6 A, 230 V AC</v>
      </c>
      <c r="C18" s="8" t="str">
        <f aca="false">IF(N(Items!F18)&gt;0,"Available","Waiting")</f>
        <v>Available</v>
      </c>
    </row>
    <row r="19" customFormat="false" ht="15" hidden="false" customHeight="false" outlineLevel="0" collapsed="false">
      <c r="A19" s="7" t="str">
        <f aca="false">Items!D19</f>
        <v>RM22TR33</v>
      </c>
      <c r="B19" s="7" t="str">
        <f aca="false">Items!E19</f>
        <v>3-phase supply monitoring relay</v>
      </c>
      <c r="C19" s="8" t="str">
        <f aca="false">IF(N(Items!F19)&gt;0,"Available","Waiting")</f>
        <v>Available</v>
      </c>
    </row>
    <row r="20" customFormat="false" ht="15" hidden="false" customHeight="false" outlineLevel="0" collapsed="false">
      <c r="A20" s="7" t="str">
        <f aca="false">Items!D20</f>
        <v>SAMPLE-BFR-01</v>
      </c>
      <c r="B20" s="7" t="str">
        <f aca="false">Items!E20</f>
        <v>Busbar (sample entry, section has no branches)</v>
      </c>
      <c r="C20" s="8" t="str">
        <f aca="false">IF(N(Items!F20)&gt;0,"Available","Waiting")</f>
        <v>Waiting</v>
      </c>
    </row>
    <row r="21" customFormat="false" ht="15" hidden="false" customHeight="false" outlineLevel="0" collapsed="false">
      <c r="A21" s="7" t="str">
        <f aca="false">Items!D21</f>
        <v>SAMPLE-TRK-01</v>
      </c>
      <c r="B21" s="7" t="str">
        <f aca="false">Items!E21</f>
        <v>Trunking (sample entry, section has no branches)</v>
      </c>
      <c r="C21" s="8" t="str">
        <f aca="false">IF(N(Items!F21)&gt;0,"Available","Waiting")</f>
        <v>Available</v>
      </c>
    </row>
    <row r="22" customFormat="false" ht="15" hidden="false" customHeight="false" outlineLevel="0" collapsed="false">
      <c r="A22" s="7" t="str">
        <f aca="false">Items!D22</f>
        <v>SAMPLE-TLG-01</v>
      </c>
      <c r="B22" s="7" t="str">
        <f aca="false">Items!E22</f>
        <v>Manual transfer switch (sample entry)</v>
      </c>
      <c r="C22" s="8" t="str">
        <f aca="false">IF(N(Items!F22)&gt;0,"Available","Waiting")</f>
        <v>Available</v>
      </c>
    </row>
    <row r="23" customFormat="false" ht="15" hidden="false" customHeight="false" outlineLevel="0" collapsed="false">
      <c r="A23" s="7" t="str">
        <f aca="false">Items!D23</f>
        <v>SAMPLE-ATC-01</v>
      </c>
      <c r="B23" s="7" t="str">
        <f aca="false">Items!E23</f>
        <v>Automatic transfer breaker (sample entry)</v>
      </c>
      <c r="C23" s="8" t="str">
        <f aca="false">IF(N(Items!F23)&gt;0,"Available","Waiting")</f>
        <v>Waiting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32.8" hidden="false" customHeight="false" outlineLevel="0" collapsed="false">
      <c r="A1" s="9" t="s">
        <v>82</v>
      </c>
      <c r="B1" s="10"/>
    </row>
    <row r="2" customFormat="false" ht="15" hidden="false" customHeight="false" outlineLevel="0" collapsed="false">
      <c r="A2" s="10"/>
      <c r="B2" s="10"/>
    </row>
    <row r="3" customFormat="false" ht="35.05" hidden="false" customHeight="false" outlineLevel="0" collapsed="false">
      <c r="A3" s="11" t="s">
        <v>83</v>
      </c>
      <c r="B3" s="10"/>
    </row>
    <row r="4" customFormat="false" ht="15" hidden="false" customHeight="false" outlineLevel="0" collapsed="false">
      <c r="A4" s="10" t="s">
        <v>84</v>
      </c>
      <c r="B4" s="10" t="s">
        <v>85</v>
      </c>
    </row>
    <row r="5" customFormat="false" ht="15" hidden="false" customHeight="false" outlineLevel="0" collapsed="false">
      <c r="A5" s="10" t="s">
        <v>86</v>
      </c>
      <c r="B5" s="10" t="s">
        <v>87</v>
      </c>
    </row>
    <row r="6" customFormat="false" ht="15" hidden="false" customHeight="false" outlineLevel="0" collapsed="false">
      <c r="A6" s="10" t="s">
        <v>88</v>
      </c>
      <c r="B6" s="10" t="s">
        <v>89</v>
      </c>
    </row>
    <row r="7" customFormat="false" ht="15" hidden="false" customHeight="false" outlineLevel="0" collapsed="false">
      <c r="A7" s="10" t="s">
        <v>90</v>
      </c>
      <c r="B7" s="10" t="s">
        <v>91</v>
      </c>
    </row>
    <row r="8" customFormat="false" ht="15" hidden="false" customHeight="false" outlineLevel="0" collapsed="false">
      <c r="A8" s="10" t="s">
        <v>92</v>
      </c>
      <c r="B8" s="10" t="s">
        <v>93</v>
      </c>
    </row>
    <row r="9" customFormat="false" ht="15" hidden="false" customHeight="false" outlineLevel="0" collapsed="false">
      <c r="A9" s="10" t="s">
        <v>94</v>
      </c>
      <c r="B9" s="10" t="s">
        <v>95</v>
      </c>
    </row>
    <row r="10" customFormat="false" ht="15" hidden="false" customHeight="false" outlineLevel="0" collapsed="false">
      <c r="A10" s="10"/>
      <c r="B10" s="10"/>
    </row>
    <row r="11" customFormat="false" ht="15" hidden="false" customHeight="false" outlineLevel="0" collapsed="false">
      <c r="A11" s="11" t="s">
        <v>96</v>
      </c>
      <c r="B11" s="10"/>
    </row>
    <row r="12" customFormat="false" ht="15" hidden="false" customHeight="false" outlineLevel="0" collapsed="false">
      <c r="A12" s="10" t="s">
        <v>97</v>
      </c>
      <c r="B12" s="10" t="s">
        <v>98</v>
      </c>
    </row>
    <row r="13" customFormat="false" ht="15" hidden="false" customHeight="false" outlineLevel="0" collapsed="false">
      <c r="A13" s="10" t="s">
        <v>99</v>
      </c>
      <c r="B13" s="10" t="s">
        <v>100</v>
      </c>
    </row>
    <row r="14" customFormat="false" ht="23.85" hidden="false" customHeight="false" outlineLevel="0" collapsed="false">
      <c r="A14" s="10" t="s">
        <v>101</v>
      </c>
      <c r="B14" s="10"/>
    </row>
    <row r="15" customFormat="false" ht="15" hidden="false" customHeight="false" outlineLevel="0" collapsed="false">
      <c r="A15" s="10"/>
      <c r="B15" s="10"/>
    </row>
    <row r="16" customFormat="false" ht="15" hidden="false" customHeight="false" outlineLevel="0" collapsed="false">
      <c r="A16" s="11" t="s">
        <v>102</v>
      </c>
      <c r="B16" s="10"/>
    </row>
    <row r="17" customFormat="false" ht="23.85" hidden="false" customHeight="false" outlineLevel="0" collapsed="false">
      <c r="A17" s="10" t="s">
        <v>103</v>
      </c>
      <c r="B17" s="10" t="s">
        <v>104</v>
      </c>
    </row>
    <row r="18" customFormat="false" ht="23.85" hidden="false" customHeight="false" outlineLevel="0" collapsed="false">
      <c r="A18" s="10" t="s">
        <v>105</v>
      </c>
      <c r="B18" s="10" t="s">
        <v>106</v>
      </c>
    </row>
    <row r="19" customFormat="false" ht="15" hidden="false" customHeight="false" outlineLevel="0" collapsed="false">
      <c r="A19" s="10" t="s">
        <v>107</v>
      </c>
      <c r="B19" s="10" t="s">
        <v>108</v>
      </c>
    </row>
    <row r="20" customFormat="false" ht="15" hidden="false" customHeight="false" outlineLevel="0" collapsed="false">
      <c r="A20" s="10" t="s">
        <v>109</v>
      </c>
      <c r="B20" s="10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2026-10-12T23:02:34Z</dcterms:created>
  <dc:creator>openpyxl</dc:creator>
  <dc:description/>
  <dc:language>en-US</dc:language>
  <cp:lastModifiedBy/>
  <dcterms:modified xsi:type="dcterms:W3CDTF">2026-10-12T23:02:34Z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